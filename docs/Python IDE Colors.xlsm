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Python\"/>
    </mc:Choice>
  </mc:AlternateContent>
  <xr:revisionPtr revIDLastSave="0" documentId="13_ncr:1_{37F1E20C-C406-4009-9481-A3692FD634CF}" xr6:coauthVersionLast="46" xr6:coauthVersionMax="46" xr10:uidLastSave="{00000000-0000-0000-0000-000000000000}"/>
  <bookViews>
    <workbookView xWindow="900" yWindow="-120" windowWidth="19710" windowHeight="11760" xr2:uid="{8AA609F9-B713-4E3E-A541-71C26AE9EF9A}"/>
  </bookViews>
  <sheets>
    <sheet name="Spyder-Pycharm Colors" sheetId="5" r:id="rId1"/>
    <sheet name="Spyder Color Images" sheetId="1" r:id="rId2"/>
    <sheet name="Spyder Color Numbers" sheetId="2" r:id="rId3"/>
  </sheets>
  <functionGroups builtInGroupCount="19"/>
  <definedNames>
    <definedName name="DefaultBackground">'Spyder-Pycharm Colors'!$D$3</definedName>
    <definedName name="DefaultForeground">'Spyder-Pycharm Colors'!$C$3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5" l="1"/>
  <c r="D15" i="5"/>
  <c r="D14" i="5"/>
  <c r="D13" i="5"/>
  <c r="D8" i="5"/>
  <c r="D7" i="5"/>
  <c r="D6" i="5"/>
  <c r="D5" i="5"/>
  <c r="D4" i="5"/>
  <c r="C15" i="5"/>
  <c r="E19" i="2"/>
  <c r="E18" i="2"/>
  <c r="E17" i="2"/>
  <c r="E16" i="2"/>
  <c r="E15" i="2"/>
  <c r="E14" i="2"/>
  <c r="E13" i="2"/>
  <c r="E22" i="2"/>
  <c r="E21" i="2"/>
  <c r="E20" i="2"/>
  <c r="E12" i="2"/>
  <c r="E11" i="2"/>
  <c r="E10" i="2"/>
  <c r="E9" i="2"/>
  <c r="E8" i="2"/>
  <c r="E7" i="2"/>
  <c r="E6" i="2"/>
  <c r="E5" i="2"/>
  <c r="O19" i="2"/>
  <c r="O18" i="2"/>
  <c r="O17" i="2"/>
  <c r="O16" i="2"/>
  <c r="O15" i="2"/>
  <c r="O14" i="2"/>
  <c r="O22" i="2"/>
  <c r="O21" i="2"/>
  <c r="O12" i="2"/>
  <c r="O11" i="2"/>
  <c r="O10" i="2"/>
  <c r="O9" i="2"/>
  <c r="O8" i="2"/>
  <c r="O7" i="2"/>
  <c r="O6" i="2"/>
  <c r="O5" i="2"/>
  <c r="C22" i="2"/>
  <c r="C21" i="2"/>
  <c r="C20" i="2"/>
  <c r="C12" i="2"/>
  <c r="C11" i="2"/>
  <c r="C10" i="2"/>
  <c r="C9" i="2"/>
  <c r="C8" i="2"/>
  <c r="C7" i="2"/>
  <c r="C6" i="2"/>
  <c r="C5" i="2"/>
  <c r="C4" i="2"/>
  <c r="H7" i="2"/>
  <c r="H6" i="2"/>
  <c r="H19" i="2" l="1"/>
  <c r="H18" i="2"/>
  <c r="H17" i="2"/>
  <c r="H16" i="2"/>
  <c r="H15" i="2"/>
  <c r="H14" i="2"/>
  <c r="H22" i="2"/>
  <c r="H21" i="2"/>
  <c r="H12" i="2"/>
  <c r="H11" i="2"/>
  <c r="H10" i="2"/>
  <c r="H9" i="2"/>
  <c r="H8" i="2"/>
  <c r="H5" i="2"/>
</calcChain>
</file>

<file path=xl/sharedStrings.xml><?xml version="1.0" encoding="utf-8"?>
<sst xmlns="http://schemas.openxmlformats.org/spreadsheetml/2006/main" count="164" uniqueCount="101">
  <si>
    <t>Minimal</t>
  </si>
  <si>
    <t>Idle</t>
  </si>
  <si>
    <t>Notepadd++</t>
  </si>
  <si>
    <t>Pydev</t>
  </si>
  <si>
    <t>Roboticket</t>
  </si>
  <si>
    <t>Scintilla</t>
  </si>
  <si>
    <t>Solarized Light</t>
  </si>
  <si>
    <t>Spyder</t>
  </si>
  <si>
    <t>Visual Basic Editor</t>
  </si>
  <si>
    <t>Name</t>
  </si>
  <si>
    <t>Color</t>
  </si>
  <si>
    <t>Item</t>
  </si>
  <si>
    <t>Text</t>
  </si>
  <si>
    <t>Bold</t>
  </si>
  <si>
    <t>Italic</t>
  </si>
  <si>
    <t>Decimal</t>
  </si>
  <si>
    <t>Hex</t>
  </si>
  <si>
    <t>NO_COLOR</t>
  </si>
  <si>
    <t>WHITE_COLOR</t>
  </si>
  <si>
    <t>FFFFFF</t>
  </si>
  <si>
    <t>BLACK</t>
  </si>
  <si>
    <t>BLUE_LIGHT</t>
  </si>
  <si>
    <t>BLUE_MEDIUM</t>
  </si>
  <si>
    <t>GREEN_LIGHT</t>
  </si>
  <si>
    <t>ROSE_LIGHT</t>
  </si>
  <si>
    <t>ROSE_MEDIUM</t>
  </si>
  <si>
    <t>TAN_LIGHT</t>
  </si>
  <si>
    <t>TAN_MEDIUM</t>
  </si>
  <si>
    <t>TURQUOISE</t>
  </si>
  <si>
    <t>YELLOW_LIGHT</t>
  </si>
  <si>
    <t>Normal text</t>
  </si>
  <si>
    <t>Comment</t>
  </si>
  <si>
    <t>String</t>
  </si>
  <si>
    <t>Number</t>
  </si>
  <si>
    <t>Keyword</t>
  </si>
  <si>
    <t>Builtin</t>
  </si>
  <si>
    <t>Definition</t>
  </si>
  <si>
    <t>Instance</t>
  </si>
  <si>
    <t>Foreground</t>
  </si>
  <si>
    <t>Background</t>
  </si>
  <si>
    <t>Highlight</t>
  </si>
  <si>
    <t>Current Cell</t>
  </si>
  <si>
    <t>Current Line</t>
  </si>
  <si>
    <t>Side Areas</t>
  </si>
  <si>
    <t>Occurrence</t>
  </si>
  <si>
    <t>Matched Parens</t>
  </si>
  <si>
    <t>Unmatched Parens</t>
  </si>
  <si>
    <t>Link</t>
  </si>
  <si>
    <t>fdfdde</t>
  </si>
  <si>
    <t>f7ecf8</t>
  </si>
  <si>
    <t>ffff99</t>
  </si>
  <si>
    <t>99ff99</t>
  </si>
  <si>
    <t>ff9999</t>
  </si>
  <si>
    <t>0000ff</t>
  </si>
  <si>
    <t>ffffff</t>
  </si>
  <si>
    <t>efefef</t>
  </si>
  <si>
    <t>adadad</t>
  </si>
  <si>
    <t>00aa00</t>
  </si>
  <si>
    <t>FFFFFFFFFF</t>
  </si>
  <si>
    <t>0</t>
  </si>
  <si>
    <t>FFF0F0</t>
  </si>
  <si>
    <t>FFCC99</t>
  </si>
  <si>
    <t>B4FFB4</t>
  </si>
  <si>
    <t>CCCCFF</t>
  </si>
  <si>
    <t>AAAAFF</t>
  </si>
  <si>
    <t>99FFFF</t>
  </si>
  <si>
    <t>96C8FA</t>
  </si>
  <si>
    <t>CCFF99</t>
  </si>
  <si>
    <t>9BFFFF</t>
  </si>
  <si>
    <t>fff0f0</t>
  </si>
  <si>
    <t>Spyder (white background)</t>
  </si>
  <si>
    <t>Dancis Spyder</t>
  </si>
  <si>
    <t>Color Scheme</t>
  </si>
  <si>
    <t>424f99</t>
  </si>
  <si>
    <t>fddc98</t>
  </si>
  <si>
    <t>FDDC98</t>
  </si>
  <si>
    <t>ffdd99</t>
  </si>
  <si>
    <t>98dcfd</t>
  </si>
  <si>
    <t>Remember FF8800 in pycharm, spyder is 0088FF in VBA</t>
  </si>
  <si>
    <t>000000</t>
  </si>
  <si>
    <t>foreground</t>
  </si>
  <si>
    <t>background</t>
  </si>
  <si>
    <t>No Highlight</t>
  </si>
  <si>
    <t>800000</t>
  </si>
  <si>
    <t>000099</t>
  </si>
  <si>
    <t>ddddff</t>
  </si>
  <si>
    <t>3dc2ce</t>
  </si>
  <si>
    <t>df0723</t>
  </si>
  <si>
    <t>Block Comment</t>
  </si>
  <si>
    <t>Line Comment</t>
  </si>
  <si>
    <t>A49b99</t>
  </si>
  <si>
    <t>Idendifier</t>
  </si>
  <si>
    <t>023A98</t>
  </si>
  <si>
    <t>Constant</t>
  </si>
  <si>
    <t>DEFAULT</t>
  </si>
  <si>
    <t>Local Variable</t>
  </si>
  <si>
    <t>Global Variable</t>
  </si>
  <si>
    <t>self' parameter</t>
  </si>
  <si>
    <t>parameter</t>
  </si>
  <si>
    <t>00ff70</t>
  </si>
  <si>
    <t>Spyder/Pycharm Hex Color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</si>
</sst>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24F99"/>
      <name val="Calibri"/>
      <family val="2"/>
      <scheme val="minor"/>
    </font>
    <font>
      <sz val="11"/>
      <color rgb="FFA49B99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0099"/>
      <name val="Calibri"/>
      <family val="2"/>
      <scheme val="minor"/>
    </font>
    <font>
      <sz val="11"/>
      <color rgb="FF900090"/>
      <name val="Calibri"/>
      <family val="2"/>
      <scheme val="minor"/>
    </font>
    <font>
      <sz val="11"/>
      <color rgb="FF00FF70"/>
      <name val="Calibri"/>
      <family val="2"/>
      <scheme val="minor"/>
    </font>
    <font>
      <b/>
      <sz val="11"/>
      <color rgb="FF000099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AC896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9B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00090"/>
        <bgColor indexed="64"/>
      </patternFill>
    </fill>
    <fill>
      <patternFill patternType="solid">
        <fgColor rgb="FF902409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DEFDFD"/>
        <bgColor indexed="64"/>
      </patternFill>
    </fill>
    <fill>
      <patternFill patternType="solid">
        <fgColor rgb="FFF8ECF7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4F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00447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DC96"/>
        <bgColor indexed="64"/>
      </patternFill>
    </fill>
    <fill>
      <patternFill patternType="solid">
        <fgColor rgb="FFFDDC98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1" xfId="0" applyFont="1" applyBorder="1" applyAlignment="1">
      <alignment horizontal="center"/>
    </xf>
    <xf numFmtId="0" fontId="0" fillId="0" borderId="5" xfId="0" applyBorder="1"/>
    <xf numFmtId="0" fontId="0" fillId="2" borderId="5" xfId="0" applyFill="1" applyBorder="1"/>
    <xf numFmtId="0" fontId="0" fillId="0" borderId="6" xfId="0" applyBorder="1"/>
    <xf numFmtId="0" fontId="0" fillId="2" borderId="6" xfId="0" applyFill="1" applyBorder="1"/>
    <xf numFmtId="0" fontId="0" fillId="3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0" fillId="11" borderId="6" xfId="0" applyFill="1" applyBorder="1"/>
    <xf numFmtId="0" fontId="0" fillId="0" borderId="7" xfId="0" applyBorder="1"/>
    <xf numFmtId="0" fontId="0" fillId="12" borderId="7" xfId="0" applyFill="1" applyBorder="1"/>
    <xf numFmtId="0" fontId="0" fillId="3" borderId="5" xfId="0" applyFill="1" applyBorder="1"/>
    <xf numFmtId="0" fontId="0" fillId="13" borderId="6" xfId="0" applyFill="1" applyBorder="1"/>
    <xf numFmtId="0" fontId="0" fillId="14" borderId="6" xfId="0" applyFill="1" applyBorder="1"/>
    <xf numFmtId="0" fontId="0" fillId="15" borderId="6" xfId="0" applyFill="1" applyBorder="1"/>
    <xf numFmtId="0" fontId="0" fillId="16" borderId="6" xfId="0" applyFill="1" applyBorder="1"/>
    <xf numFmtId="0" fontId="0" fillId="17" borderId="6" xfId="0" applyFill="1" applyBorder="1"/>
    <xf numFmtId="0" fontId="0" fillId="21" borderId="6" xfId="0" applyFill="1" applyBorder="1"/>
    <xf numFmtId="0" fontId="0" fillId="22" borderId="6" xfId="0" applyFill="1" applyBorder="1"/>
    <xf numFmtId="0" fontId="0" fillId="23" borderId="6" xfId="0" applyFill="1" applyBorder="1"/>
    <xf numFmtId="0" fontId="0" fillId="24" borderId="6" xfId="0" applyFill="1" applyBorder="1"/>
    <xf numFmtId="0" fontId="0" fillId="16" borderId="7" xfId="0" applyFill="1" applyBorder="1"/>
    <xf numFmtId="0" fontId="0" fillId="0" borderId="8" xfId="0" applyBorder="1"/>
    <xf numFmtId="0" fontId="0" fillId="18" borderId="8" xfId="0" applyFill="1" applyBorder="1"/>
    <xf numFmtId="0" fontId="0" fillId="0" borderId="9" xfId="0" applyBorder="1"/>
    <xf numFmtId="0" fontId="0" fillId="20" borderId="9" xfId="0" applyFill="1" applyBorder="1"/>
    <xf numFmtId="49" fontId="1" fillId="0" borderId="1" xfId="0" applyNumberFormat="1" applyFont="1" applyBorder="1" applyAlignment="1">
      <alignment horizontal="center"/>
    </xf>
    <xf numFmtId="49" fontId="0" fillId="0" borderId="0" xfId="0" applyNumberFormat="1"/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19" borderId="7" xfId="0" applyFill="1" applyBorder="1"/>
    <xf numFmtId="0" fontId="0" fillId="25" borderId="6" xfId="0" applyFill="1" applyBorder="1"/>
    <xf numFmtId="0" fontId="0" fillId="26" borderId="6" xfId="0" applyFill="1" applyBorder="1"/>
    <xf numFmtId="0" fontId="0" fillId="27" borderId="8" xfId="0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4" borderId="7" xfId="0" applyFill="1" applyBorder="1"/>
    <xf numFmtId="0" fontId="0" fillId="28" borderId="6" xfId="0" applyFill="1" applyBorder="1"/>
    <xf numFmtId="0" fontId="0" fillId="0" borderId="0" xfId="0" applyAlignment="1">
      <alignment horizontal="center"/>
    </xf>
    <xf numFmtId="0" fontId="0" fillId="29" borderId="0" xfId="0" applyFill="1" applyAlignment="1">
      <alignment horizontal="center"/>
    </xf>
    <xf numFmtId="0" fontId="0" fillId="30" borderId="5" xfId="0" applyFill="1" applyBorder="1"/>
    <xf numFmtId="0" fontId="0" fillId="0" borderId="13" xfId="0" applyBorder="1" applyAlignment="1">
      <alignment horizontal="center" vertical="center" textRotation="90"/>
    </xf>
    <xf numFmtId="0" fontId="0" fillId="0" borderId="0" xfId="0" quotePrefix="1" applyAlignment="1">
      <alignment horizontal="center"/>
    </xf>
    <xf numFmtId="0" fontId="3" fillId="30" borderId="5" xfId="0" applyFont="1" applyFill="1" applyBorder="1"/>
    <xf numFmtId="0" fontId="4" fillId="30" borderId="5" xfId="0" applyFont="1" applyFill="1" applyBorder="1"/>
    <xf numFmtId="0" fontId="5" fillId="30" borderId="5" xfId="0" applyFont="1" applyFill="1" applyBorder="1"/>
    <xf numFmtId="0" fontId="6" fillId="30" borderId="5" xfId="0" applyFont="1" applyFill="1" applyBorder="1"/>
    <xf numFmtId="0" fontId="7" fillId="30" borderId="5" xfId="0" applyFont="1" applyFill="1" applyBorder="1"/>
    <xf numFmtId="0" fontId="8" fillId="30" borderId="5" xfId="0" applyFont="1" applyFill="1" applyBorder="1"/>
    <xf numFmtId="0" fontId="0" fillId="0" borderId="15" xfId="0" applyBorder="1" applyAlignment="1">
      <alignment horizontal="center" vertical="center" textRotation="90"/>
    </xf>
    <xf numFmtId="0" fontId="0" fillId="0" borderId="12" xfId="0" applyBorder="1" applyAlignment="1">
      <alignment horizontal="center" vertical="center" textRotation="90"/>
    </xf>
    <xf numFmtId="0" fontId="0" fillId="0" borderId="2" xfId="0" quotePrefix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3" fillId="30" borderId="5" xfId="0" applyFont="1" applyFill="1" applyBorder="1" applyAlignment="1">
      <alignment horizontal="center"/>
    </xf>
    <xf numFmtId="0" fontId="7" fillId="30" borderId="5" xfId="0" quotePrefix="1" applyFont="1" applyFill="1" applyBorder="1"/>
    <xf numFmtId="0" fontId="9" fillId="30" borderId="5" xfId="0" applyFont="1" applyFill="1" applyBorder="1"/>
    <xf numFmtId="0" fontId="1" fillId="0" borderId="14" xfId="0" applyFont="1" applyBorder="1" applyAlignment="1">
      <alignment horizontal="center"/>
    </xf>
    <xf numFmtId="0" fontId="10" fillId="30" borderId="16" xfId="0" applyFont="1" applyFill="1" applyBorder="1" applyAlignment="1">
      <alignment horizontal="center"/>
    </xf>
    <xf numFmtId="0" fontId="10" fillId="30" borderId="17" xfId="0" applyFont="1" applyFill="1" applyBorder="1" applyAlignment="1">
      <alignment horizontal="center"/>
    </xf>
    <xf numFmtId="0" fontId="10" fillId="30" borderId="1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F291D"/>
      <color rgb="FFFADC96"/>
      <color rgb="FFFFC247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</xdr:row>
      <xdr:rowOff>95250</xdr:rowOff>
    </xdr:from>
    <xdr:to>
      <xdr:col>1</xdr:col>
      <xdr:colOff>0</xdr:colOff>
      <xdr:row>3</xdr:row>
      <xdr:rowOff>2095779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D20BF8-96C0-48E2-A475-EE94FB825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295275"/>
          <a:ext cx="2362530" cy="2000529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3</xdr:row>
      <xdr:rowOff>228601</xdr:rowOff>
    </xdr:from>
    <xdr:to>
      <xdr:col>2</xdr:col>
      <xdr:colOff>0</xdr:colOff>
      <xdr:row>3</xdr:row>
      <xdr:rowOff>1847851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3D25B1-3502-4D06-8084-EF643AEE4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86025" y="428626"/>
          <a:ext cx="2317203" cy="1619250"/>
        </a:xfrm>
        <a:prstGeom prst="rect">
          <a:avLst/>
        </a:prstGeom>
      </xdr:spPr>
    </xdr:pic>
    <xdr:clientData/>
  </xdr:twoCellAnchor>
  <xdr:twoCellAnchor>
    <xdr:from>
      <xdr:col>2</xdr:col>
      <xdr:colOff>114300</xdr:colOff>
      <xdr:row>3</xdr:row>
      <xdr:rowOff>161925</xdr:rowOff>
    </xdr:from>
    <xdr:to>
      <xdr:col>2</xdr:col>
      <xdr:colOff>2419672</xdr:colOff>
      <xdr:row>3</xdr:row>
      <xdr:rowOff>1886191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C3ADF-4E9D-4B24-8A36-854E06C8A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72100" y="361950"/>
          <a:ext cx="2305372" cy="1724266"/>
        </a:xfrm>
        <a:prstGeom prst="rect">
          <a:avLst/>
        </a:prstGeom>
      </xdr:spPr>
    </xdr:pic>
    <xdr:clientData/>
  </xdr:twoCellAnchor>
  <xdr:twoCellAnchor>
    <xdr:from>
      <xdr:col>3</xdr:col>
      <xdr:colOff>19050</xdr:colOff>
      <xdr:row>3</xdr:row>
      <xdr:rowOff>161925</xdr:rowOff>
    </xdr:from>
    <xdr:to>
      <xdr:col>3</xdr:col>
      <xdr:colOff>2372053</xdr:colOff>
      <xdr:row>3</xdr:row>
      <xdr:rowOff>1952875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D697B8A-9C06-4F7C-BE70-EC436C545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0" y="361950"/>
          <a:ext cx="2353003" cy="1790950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5</xdr:row>
      <xdr:rowOff>85725</xdr:rowOff>
    </xdr:from>
    <xdr:to>
      <xdr:col>0</xdr:col>
      <xdr:colOff>2476838</xdr:colOff>
      <xdr:row>5</xdr:row>
      <xdr:rowOff>1819517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8B574CD-33D4-420B-B57A-51B56B742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50" y="2609850"/>
          <a:ext cx="2419688" cy="1733792"/>
        </a:xfrm>
        <a:prstGeom prst="rect">
          <a:avLst/>
        </a:prstGeom>
      </xdr:spPr>
    </xdr:pic>
    <xdr:clientData/>
  </xdr:twoCellAnchor>
  <xdr:twoCellAnchor>
    <xdr:from>
      <xdr:col>1</xdr:col>
      <xdr:colOff>85726</xdr:colOff>
      <xdr:row>5</xdr:row>
      <xdr:rowOff>95250</xdr:rowOff>
    </xdr:from>
    <xdr:to>
      <xdr:col>1</xdr:col>
      <xdr:colOff>2571101</xdr:colOff>
      <xdr:row>5</xdr:row>
      <xdr:rowOff>1790700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2EBE8B1-5F75-428E-B699-1AA91B44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14626" y="2619375"/>
          <a:ext cx="2485375" cy="1695450"/>
        </a:xfrm>
        <a:prstGeom prst="rect">
          <a:avLst/>
        </a:prstGeom>
      </xdr:spPr>
    </xdr:pic>
    <xdr:clientData/>
  </xdr:twoCellAnchor>
  <xdr:twoCellAnchor>
    <xdr:from>
      <xdr:col>2</xdr:col>
      <xdr:colOff>95250</xdr:colOff>
      <xdr:row>5</xdr:row>
      <xdr:rowOff>114300</xdr:rowOff>
    </xdr:from>
    <xdr:to>
      <xdr:col>2</xdr:col>
      <xdr:colOff>2404660</xdr:colOff>
      <xdr:row>5</xdr:row>
      <xdr:rowOff>1752600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D9376E6-2533-4AC3-ADB7-E57776FC4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53050" y="2638425"/>
          <a:ext cx="2309410" cy="16383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5</xdr:row>
      <xdr:rowOff>66675</xdr:rowOff>
    </xdr:from>
    <xdr:to>
      <xdr:col>3</xdr:col>
      <xdr:colOff>2573512</xdr:colOff>
      <xdr:row>5</xdr:row>
      <xdr:rowOff>1838325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B8931EA-9FEF-4E1D-8B80-26F2D423F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81950" y="2590800"/>
          <a:ext cx="2478262" cy="1771650"/>
        </a:xfrm>
        <a:prstGeom prst="rect">
          <a:avLst/>
        </a:prstGeom>
      </xdr:spPr>
    </xdr:pic>
    <xdr:clientData/>
  </xdr:twoCellAnchor>
  <xdr:twoCellAnchor>
    <xdr:from>
      <xdr:col>0</xdr:col>
      <xdr:colOff>59532</xdr:colOff>
      <xdr:row>1</xdr:row>
      <xdr:rowOff>119064</xdr:rowOff>
    </xdr:from>
    <xdr:to>
      <xdr:col>2</xdr:col>
      <xdr:colOff>884294</xdr:colOff>
      <xdr:row>1</xdr:row>
      <xdr:rowOff>4539281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4152F50-5E01-4013-9071-E9C62EC33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32" y="321470"/>
          <a:ext cx="6087325" cy="4420217"/>
        </a:xfrm>
        <a:prstGeom prst="rect">
          <a:avLst/>
        </a:prstGeom>
      </xdr:spPr>
    </xdr:pic>
    <xdr:clientData/>
  </xdr:twoCellAnchor>
  <xdr:twoCellAnchor>
    <xdr:from>
      <xdr:col>2</xdr:col>
      <xdr:colOff>202405</xdr:colOff>
      <xdr:row>1</xdr:row>
      <xdr:rowOff>214313</xdr:rowOff>
    </xdr:from>
    <xdr:to>
      <xdr:col>3</xdr:col>
      <xdr:colOff>2572447</xdr:colOff>
      <xdr:row>1</xdr:row>
      <xdr:rowOff>4053424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20CDD5A-F4EA-453C-ACFB-C182694C7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64968" y="416719"/>
          <a:ext cx="5001323" cy="3839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56884</xdr:colOff>
      <xdr:row>22</xdr:row>
      <xdr:rowOff>3969</xdr:rowOff>
    </xdr:from>
    <xdr:to>
      <xdr:col>14</xdr:col>
      <xdr:colOff>378419</xdr:colOff>
      <xdr:row>51</xdr:row>
      <xdr:rowOff>157161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3149C1-1135-4E46-AAAD-F5B2FA76D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95322" y="4314032"/>
          <a:ext cx="6143691" cy="5677692"/>
        </a:xfrm>
        <a:prstGeom prst="rect">
          <a:avLst/>
        </a:prstGeom>
      </xdr:spPr>
    </xdr:pic>
    <xdr:clientData/>
  </xdr:twoCellAnchor>
  <xdr:twoCellAnchor>
    <xdr:from>
      <xdr:col>14</xdr:col>
      <xdr:colOff>465667</xdr:colOff>
      <xdr:row>22</xdr:row>
      <xdr:rowOff>148167</xdr:rowOff>
    </xdr:from>
    <xdr:to>
      <xdr:col>23</xdr:col>
      <xdr:colOff>196490</xdr:colOff>
      <xdr:row>42</xdr:row>
      <xdr:rowOff>177278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2568E1-8F88-4C78-B9B2-2C52E4DB1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38167" y="4445000"/>
          <a:ext cx="5001323" cy="3839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E04B3-169C-428B-8309-5C054A480241}">
  <sheetPr codeName="Sheet4"/>
  <dimension ref="A1:E28"/>
  <sheetViews>
    <sheetView tabSelected="1" zoomScale="90" zoomScaleNormal="90" workbookViewId="0">
      <selection activeCell="H16" sqref="H16"/>
    </sheetView>
  </sheetViews>
  <sheetFormatPr defaultRowHeight="15" x14ac:dyDescent="0.25"/>
  <cols>
    <col min="1" max="1" width="4.28515625" customWidth="1"/>
    <col min="2" max="2" width="18.28515625" customWidth="1"/>
    <col min="3" max="3" width="14" style="63" customWidth="1"/>
    <col min="4" max="4" width="12" style="63" customWidth="1"/>
  </cols>
  <sheetData>
    <row r="1" spans="1:5" x14ac:dyDescent="0.25">
      <c r="A1" s="82" t="s">
        <v>100</v>
      </c>
      <c r="B1" s="83"/>
      <c r="C1" s="83"/>
      <c r="D1" s="84"/>
      <c r="E1" t="s">
        <v>78</v>
      </c>
    </row>
    <row r="2" spans="1:5" ht="15.75" thickBot="1" x14ac:dyDescent="0.3">
      <c r="C2" s="81" t="s">
        <v>80</v>
      </c>
      <c r="D2" s="81" t="s">
        <v>81</v>
      </c>
    </row>
    <row r="3" spans="1:5" ht="15.75" thickBot="1" x14ac:dyDescent="0.3">
      <c r="A3" s="74" t="s">
        <v>82</v>
      </c>
      <c r="B3" s="78" t="s">
        <v>94</v>
      </c>
      <c r="C3" s="76" t="s">
        <v>79</v>
      </c>
      <c r="D3" s="77" t="s">
        <v>75</v>
      </c>
    </row>
    <row r="4" spans="1:5" ht="15.75" customHeight="1" thickBot="1" x14ac:dyDescent="0.3">
      <c r="A4" s="66"/>
      <c r="B4" s="68" t="s">
        <v>30</v>
      </c>
      <c r="C4" s="67" t="s">
        <v>79</v>
      </c>
      <c r="D4" s="67" t="str">
        <f>DefaultBackground</f>
        <v>FDDC98</v>
      </c>
    </row>
    <row r="5" spans="1:5" ht="15.75" thickBot="1" x14ac:dyDescent="0.3">
      <c r="A5" s="66"/>
      <c r="B5" s="69" t="s">
        <v>88</v>
      </c>
      <c r="C5" s="67" t="s">
        <v>73</v>
      </c>
      <c r="D5" s="67" t="str">
        <f>DefaultBackground</f>
        <v>FDDC98</v>
      </c>
    </row>
    <row r="6" spans="1:5" ht="15.75" thickBot="1" x14ac:dyDescent="0.3">
      <c r="A6" s="66"/>
      <c r="B6" s="70" t="s">
        <v>89</v>
      </c>
      <c r="C6" s="67" t="s">
        <v>90</v>
      </c>
      <c r="D6" s="67" t="str">
        <f>DefaultBackground</f>
        <v>FDDC98</v>
      </c>
    </row>
    <row r="7" spans="1:5" ht="15.75" thickBot="1" x14ac:dyDescent="0.3">
      <c r="A7" s="66"/>
      <c r="B7" s="71" t="s">
        <v>32</v>
      </c>
      <c r="C7" s="67" t="s">
        <v>83</v>
      </c>
      <c r="D7" s="67" t="str">
        <f>DefaultBackground</f>
        <v>FDDC98</v>
      </c>
    </row>
    <row r="8" spans="1:5" ht="15.75" thickBot="1" x14ac:dyDescent="0.3">
      <c r="A8" s="66"/>
      <c r="B8" s="71" t="s">
        <v>33</v>
      </c>
      <c r="C8" s="67" t="s">
        <v>83</v>
      </c>
      <c r="D8" s="67" t="str">
        <f>DefaultBackground</f>
        <v>FDDC98</v>
      </c>
    </row>
    <row r="9" spans="1:5" ht="15.75" thickBot="1" x14ac:dyDescent="0.3">
      <c r="A9" s="66"/>
      <c r="B9" s="79" t="s">
        <v>97</v>
      </c>
      <c r="C9" s="67"/>
      <c r="D9" s="67"/>
    </row>
    <row r="10" spans="1:5" ht="15.75" thickBot="1" x14ac:dyDescent="0.3">
      <c r="A10" s="66"/>
      <c r="B10" s="73" t="s">
        <v>98</v>
      </c>
      <c r="D10" s="67"/>
    </row>
    <row r="11" spans="1:5" ht="15.75" thickBot="1" x14ac:dyDescent="0.3">
      <c r="A11" s="66"/>
      <c r="B11" s="72" t="s">
        <v>95</v>
      </c>
      <c r="C11" s="67"/>
      <c r="D11" s="67"/>
    </row>
    <row r="12" spans="1:5" ht="15.75" thickBot="1" x14ac:dyDescent="0.3">
      <c r="A12" s="66"/>
      <c r="B12" s="73" t="s">
        <v>96</v>
      </c>
      <c r="D12" s="67"/>
    </row>
    <row r="13" spans="1:5" ht="15.75" thickBot="1" x14ac:dyDescent="0.3">
      <c r="A13" s="66"/>
      <c r="B13" s="72" t="s">
        <v>34</v>
      </c>
      <c r="C13" s="67" t="s">
        <v>84</v>
      </c>
      <c r="D13" s="67" t="str">
        <f>DefaultBackground</f>
        <v>FDDC98</v>
      </c>
    </row>
    <row r="14" spans="1:5" ht="15.75" thickBot="1" x14ac:dyDescent="0.3">
      <c r="A14" s="66"/>
      <c r="B14" s="73" t="s">
        <v>35</v>
      </c>
      <c r="C14" s="63">
        <v>900090</v>
      </c>
      <c r="D14" s="67" t="str">
        <f>DefaultBackground</f>
        <v>FDDC98</v>
      </c>
    </row>
    <row r="15" spans="1:5" ht="15.75" thickBot="1" x14ac:dyDescent="0.3">
      <c r="A15" s="66"/>
      <c r="B15" s="68" t="s">
        <v>36</v>
      </c>
      <c r="C15" s="63" t="str">
        <f>C4</f>
        <v>000000</v>
      </c>
      <c r="D15" s="67" t="str">
        <f>DefaultBackground</f>
        <v>FDDC98</v>
      </c>
    </row>
    <row r="16" spans="1:5" ht="15.75" thickBot="1" x14ac:dyDescent="0.3">
      <c r="A16" s="75"/>
      <c r="B16" s="80" t="s">
        <v>37</v>
      </c>
      <c r="C16" s="67" t="s">
        <v>99</v>
      </c>
      <c r="D16" s="67" t="str">
        <f>DefaultBackground</f>
        <v>FDDC98</v>
      </c>
    </row>
    <row r="17" spans="1:4" ht="15.75" thickBot="1" x14ac:dyDescent="0.3"/>
    <row r="18" spans="1:4" ht="15.75" thickBot="1" x14ac:dyDescent="0.3">
      <c r="A18" s="74" t="s">
        <v>40</v>
      </c>
      <c r="C18" s="46" t="s">
        <v>80</v>
      </c>
      <c r="D18" s="46" t="s">
        <v>81</v>
      </c>
    </row>
    <row r="19" spans="1:4" ht="15.75" thickBot="1" x14ac:dyDescent="0.3">
      <c r="A19" s="66"/>
      <c r="B19" s="78" t="s">
        <v>94</v>
      </c>
      <c r="C19" s="76" t="s">
        <v>79</v>
      </c>
      <c r="D19" s="77" t="s">
        <v>75</v>
      </c>
    </row>
    <row r="20" spans="1:4" ht="15" customHeight="1" x14ac:dyDescent="0.25">
      <c r="A20" s="66"/>
      <c r="B20" s="32" t="s">
        <v>41</v>
      </c>
      <c r="C20" s="63" t="s">
        <v>76</v>
      </c>
    </row>
    <row r="21" spans="1:4" x14ac:dyDescent="0.25">
      <c r="A21" s="66"/>
      <c r="B21" s="6" t="s">
        <v>42</v>
      </c>
      <c r="C21" s="63" t="s">
        <v>85</v>
      </c>
    </row>
    <row r="22" spans="1:4" x14ac:dyDescent="0.25">
      <c r="A22" s="66"/>
      <c r="B22" s="6" t="s">
        <v>44</v>
      </c>
      <c r="C22" s="63" t="s">
        <v>50</v>
      </c>
    </row>
    <row r="23" spans="1:4" x14ac:dyDescent="0.25">
      <c r="A23" s="66"/>
      <c r="B23" s="6" t="s">
        <v>45</v>
      </c>
      <c r="C23" s="63" t="s">
        <v>86</v>
      </c>
    </row>
    <row r="24" spans="1:4" x14ac:dyDescent="0.25">
      <c r="A24" s="66"/>
      <c r="B24" s="6" t="s">
        <v>46</v>
      </c>
      <c r="C24" s="63" t="s">
        <v>87</v>
      </c>
    </row>
    <row r="25" spans="1:4" ht="15.75" thickBot="1" x14ac:dyDescent="0.3">
      <c r="A25" s="75"/>
      <c r="B25" s="17" t="s">
        <v>47</v>
      </c>
      <c r="C25" s="63" t="s">
        <v>53</v>
      </c>
    </row>
    <row r="27" spans="1:4" x14ac:dyDescent="0.25">
      <c r="B27" t="s">
        <v>91</v>
      </c>
      <c r="C27" s="63" t="s">
        <v>92</v>
      </c>
    </row>
    <row r="28" spans="1:4" x14ac:dyDescent="0.25">
      <c r="B28" t="s">
        <v>93</v>
      </c>
    </row>
  </sheetData>
  <mergeCells count="3">
    <mergeCell ref="A3:A16"/>
    <mergeCell ref="A18:A25"/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40EB5-0511-44A2-BC20-35D1A659743E}">
  <sheetPr codeName="Sheet1">
    <pageSetUpPr fitToPage="1"/>
  </sheetPr>
  <dimension ref="A1:D6"/>
  <sheetViews>
    <sheetView zoomScale="80" zoomScaleNormal="80" workbookViewId="0">
      <selection activeCell="I2" sqref="I2"/>
    </sheetView>
  </sheetViews>
  <sheetFormatPr defaultRowHeight="15" x14ac:dyDescent="0.25"/>
  <cols>
    <col min="1" max="4" width="39.42578125" customWidth="1"/>
  </cols>
  <sheetData>
    <row r="1" spans="1:4" ht="15.75" thickBot="1" x14ac:dyDescent="0.3">
      <c r="A1" s="51" t="s">
        <v>8</v>
      </c>
      <c r="B1" s="52"/>
      <c r="C1" s="52"/>
      <c r="D1" s="53"/>
    </row>
    <row r="2" spans="1:4" ht="369" customHeight="1" thickBot="1" x14ac:dyDescent="0.3">
      <c r="A2" s="51"/>
      <c r="B2" s="52"/>
      <c r="C2" s="52"/>
      <c r="D2" s="53"/>
    </row>
    <row r="3" spans="1:4" ht="15.75" thickBot="1" x14ac:dyDescent="0.3">
      <c r="A3" s="2" t="s">
        <v>0</v>
      </c>
      <c r="B3" s="3" t="s">
        <v>1</v>
      </c>
      <c r="C3" s="3" t="s">
        <v>2</v>
      </c>
      <c r="D3" s="3" t="s">
        <v>3</v>
      </c>
    </row>
    <row r="4" spans="1:4" ht="167.25" customHeight="1" thickBot="1" x14ac:dyDescent="0.3">
      <c r="A4" s="1"/>
      <c r="B4" s="3"/>
      <c r="C4" s="3"/>
      <c r="D4" s="3"/>
    </row>
    <row r="5" spans="1:4" ht="15.75" thickBot="1" x14ac:dyDescent="0.3">
      <c r="A5" s="1" t="s">
        <v>4</v>
      </c>
      <c r="B5" s="3" t="s">
        <v>5</v>
      </c>
      <c r="C5" s="3" t="s">
        <v>6</v>
      </c>
      <c r="D5" s="3" t="s">
        <v>7</v>
      </c>
    </row>
    <row r="6" spans="1:4" ht="157.5" customHeight="1" thickBot="1" x14ac:dyDescent="0.3">
      <c r="A6" s="1"/>
      <c r="B6" s="3"/>
      <c r="C6" s="3"/>
      <c r="D6" s="3"/>
    </row>
  </sheetData>
  <mergeCells count="2">
    <mergeCell ref="A2:D2"/>
    <mergeCell ref="A1:D1"/>
  </mergeCells>
  <printOptions horizontalCentered="1"/>
  <pageMargins left="0" right="0" top="0.5" bottom="0.5" header="0.3" footer="0.3"/>
  <pageSetup scale="66" orientation="portrait" r:id="rId1"/>
  <headerFooter scaleWithDoc="0">
    <oddHeader>&amp;L&amp;D&amp;C&amp;A (&amp;F)&amp;R&amp;T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B892-602A-4376-B1B1-7A04FC24A6DC}">
  <sheetPr codeName="Sheet2"/>
  <dimension ref="A1:R100"/>
  <sheetViews>
    <sheetView topLeftCell="C1" zoomScale="80" zoomScaleNormal="80" workbookViewId="0">
      <selection activeCell="F12" sqref="F12"/>
    </sheetView>
  </sheetViews>
  <sheetFormatPr defaultRowHeight="15" x14ac:dyDescent="0.25"/>
  <cols>
    <col min="1" max="1" width="14.28515625" bestFit="1" customWidth="1"/>
    <col min="2" max="2" width="5.7109375" bestFit="1" customWidth="1"/>
    <col min="3" max="3" width="10" style="35" bestFit="1" customWidth="1"/>
    <col min="4" max="4" width="11" bestFit="1" customWidth="1"/>
    <col min="5" max="5" width="9.140625" style="45"/>
    <col min="6" max="6" width="17.85546875" customWidth="1"/>
    <col min="7" max="7" width="5.7109375" bestFit="1" customWidth="1"/>
    <col min="8" max="8" width="10" style="41" bestFit="1" customWidth="1"/>
    <col min="9" max="9" width="7.7109375" bestFit="1" customWidth="1"/>
    <col min="10" max="10" width="5" bestFit="1" customWidth="1"/>
    <col min="11" max="11" width="5.28515625" bestFit="1" customWidth="1"/>
    <col min="12" max="12" width="3" customWidth="1"/>
    <col min="13" max="13" width="17.85546875" bestFit="1" customWidth="1"/>
    <col min="14" max="14" width="5.7109375" bestFit="1" customWidth="1"/>
    <col min="15" max="15" width="10" style="41" bestFit="1" customWidth="1"/>
    <col min="16" max="16" width="7.7109375" bestFit="1" customWidth="1"/>
    <col min="17" max="17" width="10" bestFit="1" customWidth="1"/>
    <col min="18" max="18" width="5.28515625" bestFit="1" customWidth="1"/>
  </cols>
  <sheetData>
    <row r="1" spans="1:18" ht="16.5" thickBot="1" x14ac:dyDescent="0.3">
      <c r="F1" s="55" t="s">
        <v>72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7"/>
    </row>
    <row r="2" spans="1:18" ht="15.75" thickBot="1" x14ac:dyDescent="0.3">
      <c r="A2" s="51" t="s">
        <v>10</v>
      </c>
      <c r="B2" s="52"/>
      <c r="C2" s="52"/>
      <c r="D2" s="53"/>
      <c r="F2" s="58" t="s">
        <v>71</v>
      </c>
      <c r="G2" s="59"/>
      <c r="H2" s="59"/>
      <c r="I2" s="60"/>
      <c r="J2" s="58" t="s">
        <v>12</v>
      </c>
      <c r="K2" s="60"/>
      <c r="M2" s="58" t="s">
        <v>70</v>
      </c>
      <c r="N2" s="59"/>
      <c r="O2" s="59"/>
      <c r="P2" s="60"/>
      <c r="Q2" s="58" t="s">
        <v>12</v>
      </c>
      <c r="R2" s="60"/>
    </row>
    <row r="3" spans="1:18" ht="15.75" thickBot="1" x14ac:dyDescent="0.3">
      <c r="A3" s="3" t="s">
        <v>9</v>
      </c>
      <c r="B3" s="3" t="s">
        <v>10</v>
      </c>
      <c r="C3" s="34" t="s">
        <v>15</v>
      </c>
      <c r="D3" s="3" t="s">
        <v>16</v>
      </c>
      <c r="F3" s="3" t="s">
        <v>11</v>
      </c>
      <c r="G3" s="3" t="s">
        <v>10</v>
      </c>
      <c r="H3" s="34" t="s">
        <v>15</v>
      </c>
      <c r="I3" s="3" t="s">
        <v>16</v>
      </c>
      <c r="J3" s="3" t="s">
        <v>13</v>
      </c>
      <c r="K3" s="3" t="s">
        <v>14</v>
      </c>
      <c r="M3" s="3" t="s">
        <v>11</v>
      </c>
      <c r="N3" s="3" t="s">
        <v>10</v>
      </c>
      <c r="O3" s="34" t="s">
        <v>15</v>
      </c>
      <c r="P3" s="3" t="s">
        <v>16</v>
      </c>
      <c r="Q3" s="3" t="s">
        <v>13</v>
      </c>
      <c r="R3" s="3" t="s">
        <v>14</v>
      </c>
    </row>
    <row r="4" spans="1:18" ht="15.75" thickBot="1" x14ac:dyDescent="0.3">
      <c r="A4" s="4" t="s">
        <v>17</v>
      </c>
      <c r="B4" s="5"/>
      <c r="C4" s="42">
        <f>HEX2DEC(D4)</f>
        <v>-1</v>
      </c>
      <c r="D4" s="4" t="s">
        <v>58</v>
      </c>
      <c r="F4" s="51" t="s">
        <v>38</v>
      </c>
      <c r="G4" s="52"/>
      <c r="H4" s="52"/>
      <c r="I4" s="52"/>
      <c r="J4" s="52"/>
      <c r="K4" s="53"/>
      <c r="M4" s="51" t="s">
        <v>38</v>
      </c>
      <c r="N4" s="52"/>
      <c r="O4" s="52"/>
      <c r="P4" s="52"/>
      <c r="Q4" s="52"/>
      <c r="R4" s="53"/>
    </row>
    <row r="5" spans="1:18" x14ac:dyDescent="0.25">
      <c r="A5" s="6" t="s">
        <v>18</v>
      </c>
      <c r="B5" s="7"/>
      <c r="C5" s="43">
        <f t="shared" ref="C5:C12" si="0">HEX2DEC(D5)</f>
        <v>16777215</v>
      </c>
      <c r="D5" s="6" t="s">
        <v>19</v>
      </c>
      <c r="E5" s="45" t="str">
        <f>IF(I5=P5,"","new")</f>
        <v/>
      </c>
      <c r="F5" s="4" t="s">
        <v>30</v>
      </c>
      <c r="G5" s="19"/>
      <c r="H5" s="36">
        <f>HEX2DEC(I5)</f>
        <v>0</v>
      </c>
      <c r="I5" s="4">
        <v>0</v>
      </c>
      <c r="J5" s="4"/>
      <c r="K5" s="4"/>
      <c r="M5" s="4" t="s">
        <v>30</v>
      </c>
      <c r="N5" s="19"/>
      <c r="O5" s="36">
        <f>HEX2DEC(P5)</f>
        <v>0</v>
      </c>
      <c r="P5" s="4">
        <v>0</v>
      </c>
      <c r="Q5" s="4"/>
      <c r="R5" s="4"/>
    </row>
    <row r="6" spans="1:18" x14ac:dyDescent="0.25">
      <c r="A6" s="6" t="s">
        <v>20</v>
      </c>
      <c r="B6" s="8"/>
      <c r="C6" s="43">
        <f t="shared" si="0"/>
        <v>0</v>
      </c>
      <c r="D6" s="6" t="s">
        <v>59</v>
      </c>
      <c r="E6" s="45" t="str">
        <f t="shared" ref="E6:E19" si="1">IF(I6=P6,"","new")</f>
        <v>new</v>
      </c>
      <c r="F6" s="6" t="s">
        <v>31</v>
      </c>
      <c r="G6" s="48"/>
      <c r="H6" s="37">
        <f t="shared" ref="H6:H12" si="2">HEX2DEC(I6)</f>
        <v>4345753</v>
      </c>
      <c r="I6" s="6" t="s">
        <v>73</v>
      </c>
      <c r="J6" s="6"/>
      <c r="K6" s="6"/>
      <c r="M6" s="6" t="s">
        <v>31</v>
      </c>
      <c r="N6" s="20"/>
      <c r="O6" s="37">
        <f t="shared" ref="O6:O12" si="3">HEX2DEC(P6)</f>
        <v>11382189</v>
      </c>
      <c r="P6" s="6" t="s">
        <v>56</v>
      </c>
      <c r="Q6" s="6"/>
      <c r="R6" s="6"/>
    </row>
    <row r="7" spans="1:18" x14ac:dyDescent="0.25">
      <c r="A7" s="6" t="s">
        <v>21</v>
      </c>
      <c r="B7" s="9"/>
      <c r="C7" s="43">
        <f t="shared" si="0"/>
        <v>16773360</v>
      </c>
      <c r="D7" s="6" t="s">
        <v>60</v>
      </c>
      <c r="E7" s="45" t="str">
        <f t="shared" si="1"/>
        <v>new</v>
      </c>
      <c r="F7" s="6" t="s">
        <v>32</v>
      </c>
      <c r="G7" s="22"/>
      <c r="H7" s="37">
        <f t="shared" si="2"/>
        <v>8388608</v>
      </c>
      <c r="I7" s="6">
        <v>800000</v>
      </c>
      <c r="J7" s="6"/>
      <c r="K7" s="6"/>
      <c r="M7" s="6" t="s">
        <v>32</v>
      </c>
      <c r="N7" s="21"/>
      <c r="O7" s="37">
        <f t="shared" si="3"/>
        <v>43520</v>
      </c>
      <c r="P7" s="6" t="s">
        <v>57</v>
      </c>
      <c r="Q7" s="6"/>
      <c r="R7" s="6"/>
    </row>
    <row r="8" spans="1:18" x14ac:dyDescent="0.25">
      <c r="A8" s="6" t="s">
        <v>22</v>
      </c>
      <c r="B8" s="10"/>
      <c r="C8" s="43">
        <f t="shared" si="0"/>
        <v>16764057</v>
      </c>
      <c r="D8" s="6" t="s">
        <v>61</v>
      </c>
      <c r="E8" s="45" t="str">
        <f t="shared" si="1"/>
        <v/>
      </c>
      <c r="F8" s="6" t="s">
        <v>33</v>
      </c>
      <c r="G8" s="22"/>
      <c r="H8" s="37">
        <f t="shared" si="2"/>
        <v>8388608</v>
      </c>
      <c r="I8" s="6">
        <v>800000</v>
      </c>
      <c r="J8" s="6"/>
      <c r="K8" s="6"/>
      <c r="M8" s="6" t="s">
        <v>33</v>
      </c>
      <c r="N8" s="22"/>
      <c r="O8" s="37">
        <f t="shared" si="3"/>
        <v>8388608</v>
      </c>
      <c r="P8" s="6">
        <v>800000</v>
      </c>
      <c r="Q8" s="6"/>
      <c r="R8" s="6"/>
    </row>
    <row r="9" spans="1:18" x14ac:dyDescent="0.25">
      <c r="A9" s="6" t="s">
        <v>23</v>
      </c>
      <c r="B9" s="11"/>
      <c r="C9" s="43">
        <f t="shared" si="0"/>
        <v>11861940</v>
      </c>
      <c r="D9" s="6" t="s">
        <v>62</v>
      </c>
      <c r="E9" s="45" t="str">
        <f t="shared" si="1"/>
        <v>new</v>
      </c>
      <c r="F9" s="6" t="s">
        <v>34</v>
      </c>
      <c r="G9" s="49"/>
      <c r="H9" s="37">
        <f t="shared" si="2"/>
        <v>153</v>
      </c>
      <c r="I9" s="6">
        <v>99</v>
      </c>
      <c r="J9" s="6"/>
      <c r="K9" s="62"/>
      <c r="M9" s="6" t="s">
        <v>34</v>
      </c>
      <c r="N9" s="23"/>
      <c r="O9" s="37">
        <f t="shared" si="3"/>
        <v>255</v>
      </c>
      <c r="P9" s="6" t="s">
        <v>53</v>
      </c>
      <c r="Q9" s="6"/>
      <c r="R9" s="6"/>
    </row>
    <row r="10" spans="1:18" x14ac:dyDescent="0.25">
      <c r="A10" s="6" t="s">
        <v>24</v>
      </c>
      <c r="B10" s="12"/>
      <c r="C10" s="44">
        <f t="shared" si="0"/>
        <v>13421823</v>
      </c>
      <c r="D10" s="6" t="s">
        <v>63</v>
      </c>
      <c r="E10" s="45" t="str">
        <f t="shared" si="1"/>
        <v/>
      </c>
      <c r="F10" s="6" t="s">
        <v>35</v>
      </c>
      <c r="G10" s="24"/>
      <c r="H10" s="37">
        <f t="shared" si="2"/>
        <v>9437328</v>
      </c>
      <c r="I10" s="6">
        <v>900090</v>
      </c>
      <c r="J10" s="6"/>
      <c r="K10" s="6"/>
      <c r="M10" s="6" t="s">
        <v>35</v>
      </c>
      <c r="N10" s="24"/>
      <c r="O10" s="37">
        <f t="shared" si="3"/>
        <v>9437328</v>
      </c>
      <c r="P10" s="6">
        <v>900090</v>
      </c>
      <c r="Q10" s="6"/>
      <c r="R10" s="6"/>
    </row>
    <row r="11" spans="1:18" x14ac:dyDescent="0.25">
      <c r="A11" s="6" t="s">
        <v>25</v>
      </c>
      <c r="B11" s="13"/>
      <c r="C11" s="43">
        <f t="shared" si="0"/>
        <v>11184895</v>
      </c>
      <c r="D11" s="6" t="s">
        <v>64</v>
      </c>
      <c r="E11" s="45" t="str">
        <f t="shared" si="1"/>
        <v/>
      </c>
      <c r="F11" s="6" t="s">
        <v>36</v>
      </c>
      <c r="G11" s="8"/>
      <c r="H11" s="37">
        <f t="shared" si="2"/>
        <v>0</v>
      </c>
      <c r="I11" s="6">
        <v>0</v>
      </c>
      <c r="J11" s="6"/>
      <c r="K11" s="6"/>
      <c r="M11" s="6" t="s">
        <v>36</v>
      </c>
      <c r="N11" s="8"/>
      <c r="O11" s="37">
        <f t="shared" si="3"/>
        <v>0</v>
      </c>
      <c r="P11" s="6">
        <v>0</v>
      </c>
      <c r="Q11" s="6"/>
      <c r="R11" s="6"/>
    </row>
    <row r="12" spans="1:18" ht="15.75" thickBot="1" x14ac:dyDescent="0.3">
      <c r="A12" s="6" t="s">
        <v>26</v>
      </c>
      <c r="B12" s="14"/>
      <c r="C12" s="43">
        <f t="shared" si="0"/>
        <v>10092543</v>
      </c>
      <c r="D12" s="6" t="s">
        <v>65</v>
      </c>
      <c r="E12" s="45" t="str">
        <f t="shared" si="1"/>
        <v>new</v>
      </c>
      <c r="F12" s="30" t="s">
        <v>37</v>
      </c>
      <c r="G12" s="50"/>
      <c r="H12" s="38">
        <f t="shared" si="2"/>
        <v>7357440</v>
      </c>
      <c r="I12" s="30">
        <v>704400</v>
      </c>
      <c r="J12" s="30"/>
      <c r="K12" s="30"/>
      <c r="M12" s="30" t="s">
        <v>37</v>
      </c>
      <c r="N12" s="31"/>
      <c r="O12" s="38">
        <f t="shared" si="3"/>
        <v>599184</v>
      </c>
      <c r="P12" s="30">
        <v>92490</v>
      </c>
      <c r="Q12" s="30"/>
      <c r="R12" s="30"/>
    </row>
    <row r="13" spans="1:18" ht="15.75" thickBot="1" x14ac:dyDescent="0.3">
      <c r="E13" s="45" t="str">
        <f t="shared" si="1"/>
        <v/>
      </c>
      <c r="F13" s="54" t="s">
        <v>40</v>
      </c>
      <c r="G13" s="54"/>
      <c r="H13" s="54"/>
      <c r="I13" s="54"/>
      <c r="J13" s="54"/>
      <c r="K13" s="54"/>
      <c r="M13" s="54" t="s">
        <v>40</v>
      </c>
      <c r="N13" s="54"/>
      <c r="O13" s="54"/>
      <c r="P13" s="54"/>
      <c r="Q13" s="54"/>
      <c r="R13" s="54"/>
    </row>
    <row r="14" spans="1:18" x14ac:dyDescent="0.25">
      <c r="E14" s="45" t="str">
        <f t="shared" si="1"/>
        <v/>
      </c>
      <c r="F14" s="32" t="s">
        <v>41</v>
      </c>
      <c r="G14" s="33"/>
      <c r="H14" s="39">
        <f t="shared" ref="H14:H19" si="4">HEX2DEC(I14)</f>
        <v>16645598</v>
      </c>
      <c r="I14" s="32" t="s">
        <v>48</v>
      </c>
      <c r="J14" s="32"/>
      <c r="K14" s="32"/>
      <c r="M14" s="32" t="s">
        <v>41</v>
      </c>
      <c r="N14" s="33"/>
      <c r="O14" s="39">
        <f t="shared" ref="O14:O19" si="5">HEX2DEC(P14)</f>
        <v>16645598</v>
      </c>
      <c r="P14" s="32" t="s">
        <v>48</v>
      </c>
      <c r="Q14" s="32"/>
      <c r="R14" s="32"/>
    </row>
    <row r="15" spans="1:18" x14ac:dyDescent="0.25">
      <c r="E15" s="45" t="str">
        <f t="shared" si="1"/>
        <v/>
      </c>
      <c r="F15" s="6" t="s">
        <v>42</v>
      </c>
      <c r="G15" s="25"/>
      <c r="H15" s="37">
        <f t="shared" si="4"/>
        <v>16248056</v>
      </c>
      <c r="I15" s="6" t="s">
        <v>49</v>
      </c>
      <c r="J15" s="6"/>
      <c r="K15" s="6"/>
      <c r="M15" s="6" t="s">
        <v>42</v>
      </c>
      <c r="N15" s="25"/>
      <c r="O15" s="37">
        <f t="shared" si="5"/>
        <v>16248056</v>
      </c>
      <c r="P15" s="6" t="s">
        <v>49</v>
      </c>
      <c r="Q15" s="6"/>
      <c r="R15" s="6"/>
    </row>
    <row r="16" spans="1:18" x14ac:dyDescent="0.25">
      <c r="E16" s="45" t="str">
        <f t="shared" si="1"/>
        <v/>
      </c>
      <c r="F16" s="6" t="s">
        <v>44</v>
      </c>
      <c r="G16" s="26"/>
      <c r="H16" s="37">
        <f t="shared" si="4"/>
        <v>16777113</v>
      </c>
      <c r="I16" s="6" t="s">
        <v>50</v>
      </c>
      <c r="J16" s="6"/>
      <c r="K16" s="6"/>
      <c r="M16" s="6" t="s">
        <v>44</v>
      </c>
      <c r="N16" s="26"/>
      <c r="O16" s="37">
        <f t="shared" si="5"/>
        <v>16777113</v>
      </c>
      <c r="P16" s="6" t="s">
        <v>50</v>
      </c>
      <c r="Q16" s="6"/>
      <c r="R16" s="6"/>
    </row>
    <row r="17" spans="1:18" x14ac:dyDescent="0.25">
      <c r="E17" s="45" t="str">
        <f t="shared" si="1"/>
        <v/>
      </c>
      <c r="F17" s="6" t="s">
        <v>45</v>
      </c>
      <c r="G17" s="27"/>
      <c r="H17" s="37">
        <f t="shared" si="4"/>
        <v>10092441</v>
      </c>
      <c r="I17" s="6" t="s">
        <v>51</v>
      </c>
      <c r="J17" s="6"/>
      <c r="K17" s="6"/>
      <c r="M17" s="6" t="s">
        <v>45</v>
      </c>
      <c r="N17" s="27"/>
      <c r="O17" s="37">
        <f t="shared" si="5"/>
        <v>10092441</v>
      </c>
      <c r="P17" s="6" t="s">
        <v>51</v>
      </c>
      <c r="Q17" s="6"/>
      <c r="R17" s="6"/>
    </row>
    <row r="18" spans="1:18" x14ac:dyDescent="0.25">
      <c r="E18" s="45" t="str">
        <f t="shared" si="1"/>
        <v/>
      </c>
      <c r="F18" s="6" t="s">
        <v>46</v>
      </c>
      <c r="G18" s="28"/>
      <c r="H18" s="37">
        <f t="shared" si="4"/>
        <v>16751001</v>
      </c>
      <c r="I18" s="6" t="s">
        <v>52</v>
      </c>
      <c r="J18" s="6"/>
      <c r="K18" s="6"/>
      <c r="M18" s="6" t="s">
        <v>46</v>
      </c>
      <c r="N18" s="28"/>
      <c r="O18" s="37">
        <f t="shared" si="5"/>
        <v>16751001</v>
      </c>
      <c r="P18" s="6" t="s">
        <v>52</v>
      </c>
      <c r="Q18" s="6"/>
      <c r="R18" s="6"/>
    </row>
    <row r="19" spans="1:18" ht="15.75" thickBot="1" x14ac:dyDescent="0.3">
      <c r="E19" s="45" t="str">
        <f t="shared" si="1"/>
        <v/>
      </c>
      <c r="F19" s="17" t="s">
        <v>47</v>
      </c>
      <c r="G19" s="29"/>
      <c r="H19" s="40">
        <f t="shared" si="4"/>
        <v>255</v>
      </c>
      <c r="I19" s="17" t="s">
        <v>53</v>
      </c>
      <c r="J19" s="17" t="s">
        <v>74</v>
      </c>
      <c r="K19" s="17"/>
      <c r="M19" s="17" t="s">
        <v>47</v>
      </c>
      <c r="N19" s="29"/>
      <c r="O19" s="40">
        <f t="shared" si="5"/>
        <v>255</v>
      </c>
      <c r="P19" s="17" t="s">
        <v>53</v>
      </c>
      <c r="Q19" s="17"/>
      <c r="R19" s="17"/>
    </row>
    <row r="20" spans="1:18" ht="15.75" thickBot="1" x14ac:dyDescent="0.3">
      <c r="A20" s="6" t="s">
        <v>27</v>
      </c>
      <c r="B20" s="15"/>
      <c r="C20" s="43">
        <f>HEX2DEC(D20)</f>
        <v>9881850</v>
      </c>
      <c r="D20" s="6" t="s">
        <v>66</v>
      </c>
      <c r="E20" s="45" t="str">
        <f>IF(I20=P20,"","new")</f>
        <v/>
      </c>
      <c r="F20" s="54" t="s">
        <v>39</v>
      </c>
      <c r="G20" s="54"/>
      <c r="H20" s="54"/>
      <c r="I20" s="54"/>
      <c r="J20" s="54"/>
      <c r="K20" s="54"/>
      <c r="M20" s="54" t="s">
        <v>39</v>
      </c>
      <c r="N20" s="54"/>
      <c r="O20" s="54"/>
      <c r="P20" s="54"/>
      <c r="Q20" s="54"/>
      <c r="R20" s="54"/>
    </row>
    <row r="21" spans="1:18" ht="15.75" thickBot="1" x14ac:dyDescent="0.3">
      <c r="A21" s="6" t="s">
        <v>28</v>
      </c>
      <c r="B21" s="16"/>
      <c r="C21" s="43">
        <f>HEX2DEC(D21)</f>
        <v>13434777</v>
      </c>
      <c r="D21" s="6" t="s">
        <v>67</v>
      </c>
      <c r="E21" s="45" t="str">
        <f>IF(I21=P21,"","new")</f>
        <v>new</v>
      </c>
      <c r="F21" s="4" t="s">
        <v>39</v>
      </c>
      <c r="G21" s="65"/>
      <c r="H21" s="36">
        <f t="shared" ref="H21:H22" si="6">HEX2DEC(I21)</f>
        <v>10018045</v>
      </c>
      <c r="I21" s="17" t="s">
        <v>77</v>
      </c>
      <c r="J21" s="4" t="s">
        <v>76</v>
      </c>
      <c r="K21" s="4"/>
      <c r="M21" s="4" t="s">
        <v>39</v>
      </c>
      <c r="N21" s="5"/>
      <c r="O21" s="36">
        <f t="shared" ref="O21:O22" si="7">HEX2DEC(P21)</f>
        <v>16777215</v>
      </c>
      <c r="P21" s="4" t="s">
        <v>54</v>
      </c>
      <c r="Q21" s="4"/>
      <c r="R21" s="4"/>
    </row>
    <row r="22" spans="1:18" ht="15.75" thickBot="1" x14ac:dyDescent="0.3">
      <c r="A22" s="17" t="s">
        <v>29</v>
      </c>
      <c r="B22" s="18"/>
      <c r="C22" s="43">
        <f>HEX2DEC(D22)</f>
        <v>10223615</v>
      </c>
      <c r="D22" s="17" t="s">
        <v>68</v>
      </c>
      <c r="E22" s="45" t="str">
        <f>IF(I22=P22,"","new")</f>
        <v>new</v>
      </c>
      <c r="F22" s="17" t="s">
        <v>43</v>
      </c>
      <c r="G22" s="61"/>
      <c r="H22" s="40">
        <f t="shared" si="6"/>
        <v>16773360</v>
      </c>
      <c r="I22" s="17" t="s">
        <v>69</v>
      </c>
      <c r="J22" s="17"/>
      <c r="K22" s="17"/>
      <c r="M22" s="17" t="s">
        <v>43</v>
      </c>
      <c r="N22" s="47"/>
      <c r="O22" s="40">
        <f t="shared" si="7"/>
        <v>15724527</v>
      </c>
      <c r="P22" s="17" t="s">
        <v>55</v>
      </c>
      <c r="Q22" s="17"/>
      <c r="R22" s="17"/>
    </row>
    <row r="64" spans="6:13" x14ac:dyDescent="0.25">
      <c r="F64" s="64"/>
      <c r="G64" s="64"/>
      <c r="H64" s="64"/>
      <c r="I64" s="64"/>
      <c r="J64" s="64"/>
      <c r="K64" s="64"/>
      <c r="L64" s="64"/>
      <c r="M64" s="64"/>
    </row>
    <row r="65" spans="6:13" x14ac:dyDescent="0.25">
      <c r="F65" s="64"/>
      <c r="G65" s="64"/>
      <c r="H65" s="64"/>
      <c r="I65" s="64"/>
      <c r="J65" s="64"/>
      <c r="K65" s="64"/>
      <c r="L65" s="64"/>
      <c r="M65" s="64"/>
    </row>
    <row r="66" spans="6:13" x14ac:dyDescent="0.25">
      <c r="F66" s="64"/>
      <c r="G66" s="64"/>
      <c r="H66" s="64"/>
      <c r="I66" s="64"/>
      <c r="J66" s="64"/>
      <c r="K66" s="64"/>
      <c r="L66" s="64"/>
      <c r="M66" s="64"/>
    </row>
    <row r="67" spans="6:13" x14ac:dyDescent="0.25">
      <c r="F67" s="64"/>
      <c r="G67" s="64"/>
      <c r="H67" s="64"/>
      <c r="I67" s="64"/>
      <c r="J67" s="64"/>
      <c r="K67" s="64"/>
      <c r="L67" s="64"/>
      <c r="M67" s="64"/>
    </row>
    <row r="68" spans="6:13" x14ac:dyDescent="0.25">
      <c r="F68" s="64"/>
      <c r="G68" s="64"/>
      <c r="H68" s="64"/>
      <c r="I68" s="64"/>
      <c r="J68" s="64"/>
      <c r="K68" s="64"/>
      <c r="L68" s="64"/>
      <c r="M68" s="64"/>
    </row>
    <row r="69" spans="6:13" x14ac:dyDescent="0.25">
      <c r="F69" s="64"/>
      <c r="G69" s="64"/>
      <c r="H69" s="64"/>
      <c r="I69" s="64"/>
      <c r="J69" s="64"/>
      <c r="K69" s="64"/>
      <c r="L69" s="64"/>
      <c r="M69" s="64"/>
    </row>
    <row r="70" spans="6:13" x14ac:dyDescent="0.25">
      <c r="F70" s="64"/>
      <c r="G70" s="64"/>
      <c r="H70" s="64"/>
      <c r="I70" s="64"/>
      <c r="J70" s="64"/>
      <c r="K70" s="64"/>
      <c r="L70" s="64"/>
      <c r="M70" s="64"/>
    </row>
    <row r="71" spans="6:13" x14ac:dyDescent="0.25">
      <c r="F71" s="64"/>
      <c r="G71" s="64"/>
      <c r="H71" s="64"/>
      <c r="I71" s="64"/>
      <c r="J71" s="64"/>
      <c r="K71" s="64"/>
      <c r="L71" s="64"/>
      <c r="M71" s="64"/>
    </row>
    <row r="72" spans="6:13" x14ac:dyDescent="0.25">
      <c r="F72" s="64"/>
      <c r="G72" s="64"/>
      <c r="H72" s="64"/>
      <c r="I72" s="64"/>
      <c r="J72" s="64"/>
      <c r="K72" s="64"/>
      <c r="L72" s="64"/>
      <c r="M72" s="64"/>
    </row>
    <row r="73" spans="6:13" x14ac:dyDescent="0.25">
      <c r="F73" s="64"/>
      <c r="G73" s="64"/>
      <c r="H73" s="64"/>
      <c r="I73" s="64"/>
      <c r="J73" s="64"/>
      <c r="K73" s="64"/>
      <c r="L73" s="64"/>
      <c r="M73" s="64"/>
    </row>
    <row r="74" spans="6:13" x14ac:dyDescent="0.25">
      <c r="F74" s="64"/>
      <c r="G74" s="64"/>
      <c r="H74" s="64"/>
      <c r="I74" s="64"/>
      <c r="J74" s="64"/>
      <c r="K74" s="64"/>
      <c r="L74" s="64"/>
      <c r="M74" s="64"/>
    </row>
    <row r="75" spans="6:13" x14ac:dyDescent="0.25">
      <c r="F75" s="64"/>
      <c r="G75" s="64"/>
      <c r="H75" s="64"/>
      <c r="I75" s="64"/>
      <c r="J75" s="64"/>
      <c r="K75" s="64"/>
      <c r="L75" s="64"/>
      <c r="M75" s="64"/>
    </row>
    <row r="76" spans="6:13" x14ac:dyDescent="0.25">
      <c r="F76" s="64"/>
      <c r="G76" s="64"/>
      <c r="H76" s="64"/>
      <c r="I76" s="64"/>
      <c r="J76" s="64"/>
      <c r="K76" s="64"/>
      <c r="L76" s="64"/>
      <c r="M76" s="64"/>
    </row>
    <row r="77" spans="6:13" x14ac:dyDescent="0.25">
      <c r="F77" s="64"/>
      <c r="G77" s="64"/>
      <c r="H77" s="64"/>
      <c r="I77" s="64"/>
      <c r="J77" s="64"/>
      <c r="K77" s="64"/>
      <c r="L77" s="64"/>
      <c r="M77" s="64"/>
    </row>
    <row r="78" spans="6:13" x14ac:dyDescent="0.25">
      <c r="F78" s="64"/>
      <c r="G78" s="64"/>
      <c r="H78" s="64"/>
      <c r="I78" s="64"/>
      <c r="J78" s="64"/>
      <c r="K78" s="64"/>
      <c r="L78" s="64"/>
      <c r="M78" s="64"/>
    </row>
    <row r="79" spans="6:13" x14ac:dyDescent="0.25">
      <c r="F79" s="64"/>
      <c r="G79" s="64"/>
      <c r="H79" s="64"/>
      <c r="I79" s="64"/>
      <c r="J79" s="64"/>
      <c r="K79" s="64"/>
      <c r="L79" s="64"/>
      <c r="M79" s="64"/>
    </row>
    <row r="80" spans="6:13" x14ac:dyDescent="0.25">
      <c r="F80" s="64"/>
      <c r="G80" s="64"/>
      <c r="H80" s="64"/>
      <c r="I80" s="64"/>
      <c r="J80" s="64"/>
      <c r="K80" s="64"/>
      <c r="L80" s="64"/>
      <c r="M80" s="64"/>
    </row>
    <row r="81" spans="6:13" x14ac:dyDescent="0.25">
      <c r="F81" s="64"/>
      <c r="G81" s="64"/>
      <c r="H81" s="64"/>
      <c r="I81" s="64"/>
      <c r="J81" s="64"/>
      <c r="K81" s="64"/>
      <c r="L81" s="64"/>
      <c r="M81" s="64"/>
    </row>
    <row r="82" spans="6:13" x14ac:dyDescent="0.25">
      <c r="F82" s="64"/>
      <c r="G82" s="64"/>
      <c r="H82" s="64"/>
      <c r="I82" s="64"/>
      <c r="J82" s="64"/>
      <c r="K82" s="64"/>
      <c r="L82" s="64"/>
      <c r="M82" s="64"/>
    </row>
    <row r="83" spans="6:13" x14ac:dyDescent="0.25">
      <c r="F83" s="64"/>
      <c r="G83" s="64"/>
      <c r="H83" s="64"/>
      <c r="I83" s="64"/>
      <c r="J83" s="64"/>
      <c r="K83" s="64"/>
      <c r="L83" s="64"/>
      <c r="M83" s="64"/>
    </row>
    <row r="84" spans="6:13" x14ac:dyDescent="0.25">
      <c r="F84" s="64"/>
      <c r="G84" s="64"/>
      <c r="H84" s="64"/>
      <c r="I84" s="64"/>
      <c r="J84" s="64"/>
      <c r="K84" s="64"/>
      <c r="L84" s="64"/>
      <c r="M84" s="64"/>
    </row>
    <row r="85" spans="6:13" x14ac:dyDescent="0.25">
      <c r="F85" s="64"/>
      <c r="G85" s="64"/>
      <c r="H85" s="64"/>
      <c r="I85" s="64"/>
      <c r="J85" s="64"/>
      <c r="K85" s="64"/>
      <c r="L85" s="64"/>
      <c r="M85" s="64"/>
    </row>
    <row r="86" spans="6:13" x14ac:dyDescent="0.25">
      <c r="F86" s="64"/>
      <c r="G86" s="64"/>
      <c r="H86" s="64"/>
      <c r="I86" s="64"/>
      <c r="J86" s="64"/>
      <c r="K86" s="64"/>
      <c r="L86" s="64"/>
      <c r="M86" s="64"/>
    </row>
    <row r="87" spans="6:13" x14ac:dyDescent="0.25">
      <c r="F87" s="64"/>
      <c r="G87" s="64"/>
      <c r="H87" s="64"/>
      <c r="I87" s="64"/>
      <c r="J87" s="64"/>
      <c r="K87" s="64"/>
      <c r="L87" s="64"/>
      <c r="M87" s="64"/>
    </row>
    <row r="88" spans="6:13" x14ac:dyDescent="0.25">
      <c r="F88" s="64"/>
      <c r="G88" s="64"/>
      <c r="H88" s="64"/>
      <c r="I88" s="64"/>
      <c r="J88" s="64"/>
      <c r="K88" s="64"/>
      <c r="L88" s="64"/>
      <c r="M88" s="64"/>
    </row>
    <row r="89" spans="6:13" x14ac:dyDescent="0.25">
      <c r="F89" s="64"/>
      <c r="G89" s="64"/>
      <c r="H89" s="64"/>
      <c r="I89" s="64"/>
      <c r="J89" s="64"/>
      <c r="K89" s="64"/>
      <c r="L89" s="64"/>
      <c r="M89" s="64"/>
    </row>
    <row r="90" spans="6:13" x14ac:dyDescent="0.25">
      <c r="F90" s="64"/>
      <c r="G90" s="64"/>
      <c r="H90" s="64"/>
      <c r="I90" s="64"/>
      <c r="J90" s="64"/>
      <c r="K90" s="64"/>
      <c r="L90" s="64"/>
      <c r="M90" s="64"/>
    </row>
    <row r="91" spans="6:13" x14ac:dyDescent="0.25">
      <c r="F91" s="64"/>
      <c r="G91" s="64"/>
      <c r="H91" s="64"/>
      <c r="I91" s="64"/>
      <c r="J91" s="64"/>
      <c r="K91" s="64"/>
      <c r="L91" s="64"/>
      <c r="M91" s="64"/>
    </row>
    <row r="92" spans="6:13" x14ac:dyDescent="0.25">
      <c r="F92" s="64"/>
      <c r="G92" s="64"/>
      <c r="H92" s="64"/>
      <c r="I92" s="64"/>
      <c r="J92" s="64"/>
      <c r="K92" s="64"/>
      <c r="L92" s="64"/>
      <c r="M92" s="64"/>
    </row>
    <row r="93" spans="6:13" x14ac:dyDescent="0.25">
      <c r="F93" s="64"/>
      <c r="G93" s="64"/>
      <c r="H93" s="64"/>
      <c r="I93" s="64"/>
      <c r="J93" s="64"/>
      <c r="K93" s="64"/>
      <c r="L93" s="64"/>
      <c r="M93" s="64"/>
    </row>
    <row r="94" spans="6:13" x14ac:dyDescent="0.25">
      <c r="F94" s="64"/>
      <c r="G94" s="64"/>
      <c r="H94" s="64"/>
      <c r="I94" s="64"/>
      <c r="J94" s="64"/>
      <c r="K94" s="64"/>
      <c r="L94" s="64"/>
      <c r="M94" s="64"/>
    </row>
    <row r="95" spans="6:13" x14ac:dyDescent="0.25">
      <c r="F95" s="64"/>
      <c r="G95" s="64"/>
      <c r="H95" s="64"/>
      <c r="I95" s="64"/>
      <c r="J95" s="64"/>
      <c r="K95" s="64"/>
      <c r="L95" s="64"/>
      <c r="M95" s="64"/>
    </row>
    <row r="96" spans="6:13" x14ac:dyDescent="0.25">
      <c r="F96" s="64"/>
      <c r="G96" s="64"/>
      <c r="H96" s="64"/>
      <c r="I96" s="64"/>
      <c r="J96" s="64"/>
      <c r="K96" s="64"/>
      <c r="L96" s="64"/>
      <c r="M96" s="64"/>
    </row>
    <row r="97" spans="6:13" x14ac:dyDescent="0.25">
      <c r="F97" s="64"/>
      <c r="G97" s="64"/>
      <c r="H97" s="64"/>
      <c r="I97" s="64"/>
      <c r="J97" s="64"/>
      <c r="K97" s="64"/>
      <c r="L97" s="64"/>
      <c r="M97" s="64"/>
    </row>
    <row r="98" spans="6:13" x14ac:dyDescent="0.25">
      <c r="F98" s="64"/>
      <c r="G98" s="64"/>
      <c r="H98" s="64"/>
      <c r="I98" s="64"/>
      <c r="J98" s="64"/>
      <c r="K98" s="64"/>
      <c r="L98" s="64"/>
      <c r="M98" s="64"/>
    </row>
    <row r="99" spans="6:13" x14ac:dyDescent="0.25">
      <c r="F99" s="64"/>
      <c r="G99" s="64"/>
      <c r="H99" s="64"/>
      <c r="I99" s="64"/>
      <c r="J99" s="64"/>
      <c r="K99" s="64"/>
      <c r="L99" s="64"/>
      <c r="M99" s="64"/>
    </row>
    <row r="100" spans="6:13" x14ac:dyDescent="0.25">
      <c r="F100" s="64"/>
      <c r="G100" s="64"/>
      <c r="H100" s="64"/>
      <c r="I100" s="64"/>
      <c r="J100" s="64"/>
      <c r="K100" s="64"/>
      <c r="L100" s="64"/>
      <c r="M100" s="64"/>
    </row>
  </sheetData>
  <mergeCells count="13">
    <mergeCell ref="F64:M100"/>
    <mergeCell ref="F20:K20"/>
    <mergeCell ref="M2:P2"/>
    <mergeCell ref="Q2:R2"/>
    <mergeCell ref="M4:R4"/>
    <mergeCell ref="M20:R20"/>
    <mergeCell ref="M13:R13"/>
    <mergeCell ref="F13:K13"/>
    <mergeCell ref="F1:R1"/>
    <mergeCell ref="A2:D2"/>
    <mergeCell ref="F2:I2"/>
    <mergeCell ref="J2:K2"/>
    <mergeCell ref="F4:K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Spyder-Pycharm Colors</vt:lpstr>
      <vt:lpstr>Spyder Color Images</vt:lpstr>
      <vt:lpstr>Spyder Color Numbers</vt:lpstr>
      <vt:lpstr>DefaultBackground</vt:lpstr>
      <vt:lpstr>DefaultForeground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 Dancis</dc:creator>
  <cp:lastModifiedBy>Barry Dancis</cp:lastModifiedBy>
  <cp:lastPrinted>2021-02-05T22:38:01Z</cp:lastPrinted>
  <dcterms:created xsi:type="dcterms:W3CDTF">2021-02-05T21:26:06Z</dcterms:created>
  <dcterms:modified xsi:type="dcterms:W3CDTF">2021-03-04T00:37:56Z</dcterms:modified>
</cp:coreProperties>
</file>